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Etsy" sheetId="2" state="visible" r:id="rId2"/>
    <sheet xmlns:r="http://schemas.openxmlformats.org/officeDocument/2006/relationships" name="TikTok Shop" sheetId="3" state="visible" r:id="rId3"/>
    <sheet xmlns:r="http://schemas.openxmlformats.org/officeDocument/2006/relationships" name="eBay" sheetId="4" state="visible" r:id="rId4"/>
    <sheet xmlns:r="http://schemas.openxmlformats.org/officeDocument/2006/relationships" name="Amazon KDP" sheetId="5" state="visible" r:id="rId5"/>
    <sheet xmlns:r="http://schemas.openxmlformats.org/officeDocument/2006/relationships" name="Payhip" sheetId="6" state="visible" r:id="rId6"/>
    <sheet xmlns:r="http://schemas.openxmlformats.org/officeDocument/2006/relationships" name="Shopify" sheetId="7" state="visible" r:id="rId7"/>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
  </numFmts>
  <fonts count="11">
    <font>
      <name val="Calibri"/>
      <family val="2"/>
      <color theme="1"/>
      <sz val="11"/>
      <scheme val="minor"/>
    </font>
    <font>
      <name val="Georgia"/>
      <b val="1"/>
      <color rgb="0016302D"/>
      <sz val="18"/>
    </font>
    <font>
      <color rgb="002C4F49"/>
      <sz val="10"/>
    </font>
    <font>
      <b val="1"/>
      <color rgb="0016302D"/>
      <sz val="12"/>
    </font>
    <font>
      <b val="1"/>
      <color rgb="00FFFFFF"/>
    </font>
    <font>
      <color rgb="001F5FAD"/>
      <u val="single"/>
    </font>
    <font>
      <b val="1"/>
    </font>
    <font>
      <color rgb="001A1A1A"/>
    </font>
    <font/>
    <font>
      <b val="1"/>
      <color rgb="0016302D"/>
    </font>
    <font>
      <i val="1"/>
      <color rgb="002C4F49"/>
      <sz val="9"/>
    </font>
  </fonts>
  <fills count="4">
    <fill>
      <patternFill/>
    </fill>
    <fill>
      <patternFill patternType="gray125"/>
    </fill>
    <fill>
      <patternFill patternType="solid">
        <fgColor rgb="0016302D"/>
      </patternFill>
    </fill>
    <fill>
      <patternFill patternType="solid">
        <fgColor rgb="00FFF4D6"/>
      </patternFill>
    </fill>
  </fills>
  <borders count="2">
    <border>
      <left/>
      <right/>
      <top/>
      <bottom/>
      <diagonal/>
    </border>
    <border>
      <bottom style="thin">
        <color rgb="00DCD9D2"/>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xf>
    <xf numFmtId="0" fontId="0" fillId="0" borderId="0" applyAlignment="1" pivotButton="0" quotePrefix="0" xfId="0">
      <alignment/>
    </xf>
    <xf numFmtId="0" fontId="4" fillId="2" borderId="0" pivotButton="0" quotePrefix="0" xfId="0"/>
    <xf numFmtId="0" fontId="0" fillId="0" borderId="1" pivotButton="0" quotePrefix="0" xfId="0"/>
    <xf numFmtId="164" fontId="0" fillId="3" borderId="1" pivotButton="0" quotePrefix="0" xfId="0"/>
    <xf numFmtId="0" fontId="0" fillId="0" borderId="1" applyAlignment="1" pivotButton="0" quotePrefix="0" xfId="0">
      <alignment vertical="top" wrapText="1"/>
    </xf>
    <xf numFmtId="0" fontId="5" fillId="0" borderId="1" pivotButton="0" quotePrefix="0" xfId="0"/>
    <xf numFmtId="165" fontId="0" fillId="3" borderId="1" pivotButton="0" quotePrefix="0" xfId="0"/>
    <xf numFmtId="164" fontId="6" fillId="3" borderId="0" pivotButton="0" quotePrefix="0" xfId="0"/>
    <xf numFmtId="0" fontId="7" fillId="0" borderId="0" pivotButton="0" quotePrefix="0" xfId="0"/>
    <xf numFmtId="164" fontId="8" fillId="0" borderId="0" pivotButton="0" quotePrefix="0" xfId="0"/>
    <xf numFmtId="0" fontId="9" fillId="0" borderId="0" pivotButton="0" quotePrefix="0" xfId="0"/>
    <xf numFmtId="164" fontId="6" fillId="0" borderId="0" pivotButton="0" quotePrefix="0" xfId="0"/>
    <xf numFmtId="0" fontId="10" fillId="0" borderId="0" applyAlignment="1" pivotButton="0" quotePrefix="0" xfId="0">
      <alignment vertical="top" wrapText="1"/>
    </xf>
    <xf numFmtId="1" fontId="6" fillId="3" borderId="0" pivotButton="0" quotePrefix="0" xfId="0"/>
    <xf numFmtId="166"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tsy.com/legal/fees" TargetMode="External" Id="rId1"/><Relationship Type="http://schemas.openxmlformats.org/officeDocument/2006/relationships/hyperlink" Target="https://www.etsy.com/legal/fees" TargetMode="External" Id="rId2"/><Relationship Type="http://schemas.openxmlformats.org/officeDocument/2006/relationships/hyperlink" Target="https://www.etsy.com/legal/etsy-payments" TargetMode="External" Id="rId3"/><Relationship Type="http://schemas.openxmlformats.org/officeDocument/2006/relationships/hyperlink" Target="https://www.etsy.com/legal/etsy-payments" TargetMode="External" Id="rId4"/></Relationships>
</file>

<file path=xl/worksheets/_rels/sheet3.xml.rels><Relationships xmlns="http://schemas.openxmlformats.org/package/2006/relationships"><Relationship Type="http://schemas.openxmlformats.org/officeDocument/2006/relationships/hyperlink" Target="https://seller-us.tiktok.com/university/home" TargetMode="External" Id="rId1"/><Relationship Type="http://schemas.openxmlformats.org/officeDocument/2006/relationships/hyperlink" Target="https://seller-us.tiktok.com/university/home" TargetMode="External" Id="rId2"/></Relationships>
</file>

<file path=xl/worksheets/_rels/sheet4.xml.rels><Relationships xmlns="http://schemas.openxmlformats.org/package/2006/relationships"><Relationship Type="http://schemas.openxmlformats.org/officeDocument/2006/relationships/hyperlink" Target="https://www.ebay.com/help/selling/fees-credits-invoices/selling-fees?id=4364" TargetMode="External" Id="rId1"/><Relationship Type="http://schemas.openxmlformats.org/officeDocument/2006/relationships/hyperlink" Target="https://www.ebay.com/help/selling/fees-credits-invoices/selling-fees?id=4364" TargetMode="External" Id="rId2"/><Relationship Type="http://schemas.openxmlformats.org/officeDocument/2006/relationships/hyperlink" Target="https://www.ebay.com/help/selling/fees-credits-invoices/selling-fees?id=4364" TargetMode="External" Id="rId3"/><Relationship Type="http://schemas.openxmlformats.org/officeDocument/2006/relationships/hyperlink" Target="https://www.ebay.com/help/selling/fees-credits-invoices/selling-fees?id=4364" TargetMode="External" Id="rId4"/></Relationships>
</file>

<file path=xl/worksheets/_rels/sheet5.xml.rels><Relationships xmlns="http://schemas.openxmlformats.org/package/2006/relationships"><Relationship Type="http://schemas.openxmlformats.org/officeDocument/2006/relationships/hyperlink" Target="https://kdp.amazon.com/help/topic/G200644210" TargetMode="External" Id="rId1"/><Relationship Type="http://schemas.openxmlformats.org/officeDocument/2006/relationships/hyperlink" Target="https://kdp.amazon.com/help/topic/G200644210" TargetMode="External" Id="rId2"/><Relationship Type="http://schemas.openxmlformats.org/officeDocument/2006/relationships/hyperlink" Target="https://kdp.amazon.com/help/topic/G200634500" TargetMode="External" Id="rId3"/><Relationship Type="http://schemas.openxmlformats.org/officeDocument/2006/relationships/hyperlink" Target="https://kdp.amazon.com/help/topic/G201834330" TargetMode="External" Id="rId4"/><Relationship Type="http://schemas.openxmlformats.org/officeDocument/2006/relationships/hyperlink" Target="https://kdp.amazon.com/help/topic/G201834330" TargetMode="External" Id="rId5"/></Relationships>
</file>

<file path=xl/worksheets/_rels/sheet6.xml.rels><Relationships xmlns="http://schemas.openxmlformats.org/package/2006/relationships"><Relationship Type="http://schemas.openxmlformats.org/officeDocument/2006/relationships/hyperlink" Target="https://payhip.com/pricing" TargetMode="External" Id="rId1"/><Relationship Type="http://schemas.openxmlformats.org/officeDocument/2006/relationships/hyperlink" Target="https://payhip.com/pricing" TargetMode="External" Id="rId2"/><Relationship Type="http://schemas.openxmlformats.org/officeDocument/2006/relationships/hyperlink" Target="https://payhip.com/pricing" TargetMode="External" Id="rId3"/><Relationship Type="http://schemas.openxmlformats.org/officeDocument/2006/relationships/hyperlink" Target="https://stripe.com/pricing" TargetMode="External" Id="rId4"/><Relationship Type="http://schemas.openxmlformats.org/officeDocument/2006/relationships/hyperlink" Target="https://stripe.com/pricing" TargetMode="External" Id="rId5"/></Relationships>
</file>

<file path=xl/worksheets/_rels/sheet7.xml.rels><Relationships xmlns="http://schemas.openxmlformats.org/package/2006/relationships"><Relationship Type="http://schemas.openxmlformats.org/officeDocument/2006/relationships/hyperlink" Target="https://www.shopify.com/pricing" TargetMode="External" Id="rId1"/><Relationship Type="http://schemas.openxmlformats.org/officeDocument/2006/relationships/hyperlink" Target="https://www.shopify.com/pricing" TargetMode="External" Id="rId2"/><Relationship Type="http://schemas.openxmlformats.org/officeDocument/2006/relationships/hyperlink" Target="https://www.shopify.com/pricing" TargetMode="External" Id="rId3"/><Relationship Type="http://schemas.openxmlformats.org/officeDocument/2006/relationships/hyperlink" Target="https://www.shopify.com/pricing" TargetMode="External" Id="rId4"/><Relationship Type="http://schemas.openxmlformats.org/officeDocument/2006/relationships/hyperlink" Target="https://www.shopify.com/pricing" TargetMode="External" Id="rId5"/></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120" customWidth="1" min="1" max="1"/>
    <col width="16" customWidth="1" min="2" max="2"/>
    <col width="40" customWidth="1" min="3" max="3"/>
    <col width="14" customWidth="1" min="4" max="4"/>
    <col width="46" customWidth="1" min="5" max="5"/>
  </cols>
  <sheetData>
    <row r="1">
      <c r="A1" s="1" t="inlineStr">
        <is>
          <t>Seller Fee Cheat Sheet</t>
        </is>
      </c>
    </row>
    <row r="2" ht="30" customHeight="1">
      <c r="A2" s="2" t="inlineStr">
        <is>
          <t>From ePORTS (eports.global). Fees for US sellers, checked at each platform's own page on 29 Oct 2026.</t>
        </is>
      </c>
    </row>
    <row r="4">
      <c r="A4" s="3" t="inlineStr">
        <is>
          <t>How to use it</t>
        </is>
      </c>
    </row>
    <row r="5">
      <c r="A5" s="4" t="inlineStr">
        <is>
          <t>1. Pick the tab for the platform you sell on.</t>
        </is>
      </c>
    </row>
    <row r="6">
      <c r="A6" s="4" t="inlineStr">
        <is>
          <t>2. Type your price and shipping in the yellow cells. The sheet shows the fees and what you keep.</t>
        </is>
      </c>
    </row>
    <row r="7">
      <c r="A7" s="4" t="inlineStr">
        <is>
          <t>3. Fees change. Every rate is in a yellow cell too, so you can update it, and each row links to the platform's own fee page.</t>
        </is>
      </c>
    </row>
    <row r="8">
      <c r="A8" s="4" t="inlineStr"/>
    </row>
    <row r="9">
      <c r="A9" s="3" t="inlineStr">
        <is>
          <t>What it leaves out</t>
        </is>
      </c>
    </row>
    <row r="10">
      <c r="A10" s="4" t="inlineStr">
        <is>
          <t>Your product and postage costs, ads (including Etsy Offsite Ads), sales tax, currency conversion, and anything specific to your category.</t>
        </is>
      </c>
    </row>
    <row r="11">
      <c r="A11" s="4" t="inlineStr">
        <is>
          <t>"What you keep" is what the platform pays you, not your profit.</t>
        </is>
      </c>
    </row>
    <row r="12">
      <c r="A12" s="4" t="inlineStr"/>
    </row>
    <row r="13">
      <c r="A13" s="4" t="inlineStr">
        <is>
          <t>Not tax, legal or financial advice. Check your own platform account for the rate that applies to you.</t>
        </is>
      </c>
    </row>
    <row r="14">
      <c r="A14" s="4" t="inlineStr"/>
    </row>
    <row r="15">
      <c r="A15" s="4" t="inlineStr">
        <is>
          <t>ePORTS — your ecom source (eports.global)</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34" customWidth="1" min="1" max="1"/>
    <col width="16" customWidth="1" min="2" max="2"/>
    <col width="40" customWidth="1" min="3" max="3"/>
    <col width="14" customWidth="1" min="4" max="4"/>
    <col width="46" customWidth="1" min="5" max="5"/>
  </cols>
  <sheetData>
    <row r="1">
      <c r="A1" s="1" t="inlineStr">
        <is>
          <t>Etsy</t>
        </is>
      </c>
    </row>
    <row r="2" ht="30" customHeight="1">
      <c r="A2" s="2" t="inlineStr">
        <is>
          <t>US seller, US bank account, a sale on Etsy.com (not an Offsite Ads order).</t>
        </is>
      </c>
    </row>
    <row r="4">
      <c r="A4" s="5" t="inlineStr">
        <is>
          <t>Fee</t>
        </is>
      </c>
      <c r="B4" s="5" t="inlineStr">
        <is>
          <t>Rate</t>
        </is>
      </c>
      <c r="C4" s="5" t="inlineStr">
        <is>
          <t>What it applies to</t>
        </is>
      </c>
      <c r="D4" s="5" t="inlineStr">
        <is>
          <t>Checked</t>
        </is>
      </c>
      <c r="E4" s="5" t="inlineStr">
        <is>
          <t>Platform's own page</t>
        </is>
      </c>
    </row>
    <row r="5" ht="30" customHeight="1">
      <c r="A5" s="6" t="inlineStr">
        <is>
          <t>Listing fee</t>
        </is>
      </c>
      <c r="B5" s="7" t="n">
        <v>0.2</v>
      </c>
      <c r="C5" s="8" t="inlineStr">
        <is>
          <t>Per listing, each time it is listed or renewed (4 months), whether or not it sells.</t>
        </is>
      </c>
      <c r="D5" s="6" t="inlineStr">
        <is>
          <t>29 Oct 2026</t>
        </is>
      </c>
      <c r="E5" s="9" t="inlineStr">
        <is>
          <t>https://www.etsy.com/legal/fees</t>
        </is>
      </c>
    </row>
    <row r="6" ht="30" customHeight="1">
      <c r="A6" s="6" t="inlineStr">
        <is>
          <t>Transaction fee</t>
        </is>
      </c>
      <c r="B6" s="10" t="n">
        <v>0.065</v>
      </c>
      <c r="C6" s="8" t="inlineStr">
        <is>
          <t>Item price plus the shipping and gift wrap you charge. Not sales tax.</t>
        </is>
      </c>
      <c r="D6" s="6" t="inlineStr">
        <is>
          <t>29 Oct 2026</t>
        </is>
      </c>
      <c r="E6" s="9" t="inlineStr">
        <is>
          <t>https://www.etsy.com/legal/fees</t>
        </is>
      </c>
    </row>
    <row r="7" ht="30" customHeight="1">
      <c r="A7" s="6" t="inlineStr">
        <is>
          <t>Payment processing (%)</t>
        </is>
      </c>
      <c r="B7" s="10" t="n">
        <v>0.03</v>
      </c>
      <c r="C7" s="8" t="inlineStr">
        <is>
          <t>The whole order, including shipping and tax.</t>
        </is>
      </c>
      <c r="D7" s="6" t="inlineStr">
        <is>
          <t>29 Oct 2026</t>
        </is>
      </c>
      <c r="E7" s="9" t="inlineStr">
        <is>
          <t>https://www.etsy.com/legal/etsy-payments</t>
        </is>
      </c>
    </row>
    <row r="8" ht="30" customHeight="1">
      <c r="A8" s="6" t="inlineStr">
        <is>
          <t>Payment processing (flat)</t>
        </is>
      </c>
      <c r="B8" s="7" t="n">
        <v>0.25</v>
      </c>
      <c r="C8" s="8" t="inlineStr">
        <is>
          <t>Per order.</t>
        </is>
      </c>
      <c r="D8" s="6" t="inlineStr">
        <is>
          <t>29 Oct 2026</t>
        </is>
      </c>
      <c r="E8" s="9" t="inlineStr">
        <is>
          <t>https://www.etsy.com/legal/etsy-payments</t>
        </is>
      </c>
    </row>
    <row r="10">
      <c r="A10" s="5" t="inlineStr">
        <is>
          <t>Type your numbers in the yellow cells</t>
        </is>
      </c>
      <c r="B10" s="5" t="inlineStr"/>
      <c r="C10" s="5" t="inlineStr"/>
      <c r="D10" s="5" t="inlineStr"/>
      <c r="E10" s="5" t="inlineStr"/>
    </row>
    <row r="11">
      <c r="A11" t="inlineStr">
        <is>
          <t>Item price</t>
        </is>
      </c>
      <c r="B11" s="11" t="n">
        <v>20</v>
      </c>
    </row>
    <row r="12">
      <c r="A12" t="inlineStr">
        <is>
          <t>Shipping you charge</t>
        </is>
      </c>
      <c r="B12" s="11" t="n">
        <v>4</v>
      </c>
    </row>
    <row r="13">
      <c r="A13" t="inlineStr">
        <is>
          <t>Sales tax collected (0 if none)</t>
        </is>
      </c>
      <c r="B13" s="11" t="n">
        <v>0</v>
      </c>
    </row>
    <row r="15">
      <c r="A15" s="12" t="inlineStr">
        <is>
          <t>Transaction fee</t>
        </is>
      </c>
      <c r="B15" s="13">
        <f>($B$11+$B$12)*$B$6</f>
        <v/>
      </c>
    </row>
    <row r="16">
      <c r="A16" s="12" t="inlineStr">
        <is>
          <t>Payment processing</t>
        </is>
      </c>
      <c r="B16" s="13">
        <f>($B$11+$B$12+$B$13)*$B$7+$B$8</f>
        <v/>
      </c>
    </row>
    <row r="17">
      <c r="A17" s="12" t="inlineStr">
        <is>
          <t>Listing fee</t>
        </is>
      </c>
      <c r="B17" s="13">
        <f>$B$5</f>
        <v/>
      </c>
    </row>
    <row r="18">
      <c r="A18" s="14" t="inlineStr">
        <is>
          <t>Total Etsy fees</t>
        </is>
      </c>
      <c r="B18" s="15">
        <f>($B$11+$B$12)*$B$6+($B$11+$B$12+$B$13)*$B$7+$B$8+$B$5</f>
        <v/>
      </c>
    </row>
    <row r="19">
      <c r="A19" s="14" t="inlineStr">
        <is>
          <t>What you keep (before product and postage)</t>
        </is>
      </c>
      <c r="B19" s="15">
        <f>$B$11+$B$12-(($B$11+$B$12)*$B$6+($B$11+$B$12+$B$13)*$B$7+$B$8+$B$5)</f>
        <v/>
      </c>
    </row>
    <row r="21" ht="54" customHeight="1">
      <c r="A21" s="16" t="inlineStr">
        <is>
          <t>Offsite Ads: if an order came from an Etsy ad on another site, Etsy also takes 15% (12% for shops over $10,000 a year), capped at $100 an order. Selling in another currency adds 2.5% conversion.</t>
        </is>
      </c>
    </row>
  </sheetData>
  <mergeCells count="2">
    <mergeCell ref="A2:E2"/>
    <mergeCell ref="A21:E2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34" customWidth="1" min="1" max="1"/>
    <col width="16" customWidth="1" min="2" max="2"/>
    <col width="40" customWidth="1" min="3" max="3"/>
    <col width="14" customWidth="1" min="4" max="4"/>
    <col width="46" customWidth="1" min="5" max="5"/>
  </cols>
  <sheetData>
    <row r="1">
      <c r="A1" s="1" t="inlineStr">
        <is>
          <t>TikTok Shop</t>
        </is>
      </c>
    </row>
    <row r="2" ht="30" customHeight="1">
      <c r="A2" s="2" t="inlineStr">
        <is>
          <t>US seller, most categories. TikTok's published table says 6%; many sellers report being charged 8% since August 2026, so this sheet starts at 8%. Check yours in Seller Center.</t>
        </is>
      </c>
    </row>
    <row r="4">
      <c r="A4" s="5" t="inlineStr">
        <is>
          <t>Fee</t>
        </is>
      </c>
      <c r="B4" s="5" t="inlineStr">
        <is>
          <t>Rate</t>
        </is>
      </c>
      <c r="C4" s="5" t="inlineStr">
        <is>
          <t>What it applies to</t>
        </is>
      </c>
      <c r="D4" s="5" t="inlineStr">
        <is>
          <t>Checked</t>
        </is>
      </c>
      <c r="E4" s="5" t="inlineStr">
        <is>
          <t>Platform's own page</t>
        </is>
      </c>
    </row>
    <row r="5" ht="30" customHeight="1">
      <c r="A5" s="6" t="inlineStr">
        <is>
          <t>Referral fee</t>
        </is>
      </c>
      <c r="B5" s="10" t="n">
        <v>0.08</v>
      </c>
      <c r="C5" s="8" t="inlineStr">
        <is>
          <t>The customer payment, including shipping. Published table: 6% (5% some jewelry and pre-owned). Change this cell to the rate on your own statement.</t>
        </is>
      </c>
      <c r="D5" s="6" t="inlineStr">
        <is>
          <t>29 Oct 2026</t>
        </is>
      </c>
      <c r="E5" s="9" t="inlineStr">
        <is>
          <t>https://seller-us.tiktok.com/university/home</t>
        </is>
      </c>
    </row>
    <row r="6" ht="30" customHeight="1">
      <c r="A6" s="6" t="inlineStr">
        <is>
          <t>Creator commission (if a creator sold it)</t>
        </is>
      </c>
      <c r="B6" s="10" t="n">
        <v>0.15</v>
      </c>
      <c r="C6" s="8" t="inlineStr">
        <is>
          <t>You set this rate per product in your affiliate plan. 0% if you sold it yourself.</t>
        </is>
      </c>
      <c r="D6" s="6" t="inlineStr">
        <is>
          <t>29 Oct 2026</t>
        </is>
      </c>
      <c r="E6" s="9" t="inlineStr">
        <is>
          <t>https://seller-us.tiktok.com/university/home</t>
        </is>
      </c>
    </row>
    <row r="8">
      <c r="A8" s="5" t="inlineStr">
        <is>
          <t>Type your numbers in the yellow cells</t>
        </is>
      </c>
      <c r="B8" s="5" t="inlineStr"/>
      <c r="C8" s="5" t="inlineStr"/>
      <c r="D8" s="5" t="inlineStr"/>
      <c r="E8" s="5" t="inlineStr"/>
    </row>
    <row r="9">
      <c r="A9" t="inlineStr">
        <is>
          <t>Item price</t>
        </is>
      </c>
      <c r="B9" s="11" t="n">
        <v>25</v>
      </c>
    </row>
    <row r="10">
      <c r="A10" t="inlineStr">
        <is>
          <t>Shipping the buyer paid</t>
        </is>
      </c>
      <c r="B10" s="11" t="n">
        <v>0</v>
      </c>
    </row>
    <row r="11">
      <c r="A11" t="inlineStr">
        <is>
          <t>Sold through a creator? 1 = yes, 0 = no</t>
        </is>
      </c>
      <c r="B11" s="17" t="n">
        <v>1</v>
      </c>
    </row>
    <row r="13">
      <c r="A13" s="12" t="inlineStr">
        <is>
          <t>Referral fee</t>
        </is>
      </c>
      <c r="B13" s="13">
        <f>($B$9+$B$10)*$B$5</f>
        <v/>
      </c>
    </row>
    <row r="14">
      <c r="A14" s="12" t="inlineStr">
        <is>
          <t>Creator commission</t>
        </is>
      </c>
      <c r="B14" s="13">
        <f>$B$9*$B$6*$B$11</f>
        <v/>
      </c>
    </row>
    <row r="15">
      <c r="A15" s="14" t="inlineStr">
        <is>
          <t>Total taken</t>
        </is>
      </c>
      <c r="B15" s="15">
        <f>($B$9+$B$10)*$B$5+$B$9*$B$6*$B$11</f>
        <v/>
      </c>
    </row>
    <row r="16">
      <c r="A16" s="14" t="inlineStr">
        <is>
          <t>What you keep (before product and postage)</t>
        </is>
      </c>
      <c r="B16" s="15">
        <f>$B$9+$B$10-(($B$9+$B$10)*$B$5+$B$9*$B$6*$B$11)</f>
        <v/>
      </c>
    </row>
    <row r="18" ht="54" customHeight="1">
      <c r="A18" s="16" t="inlineStr">
        <is>
          <t>New sellers can get a lower rate for a short time if they make a first sale soon after joining; check the terms in Seller Center. Shipping labels, samples and returns are extra and not counted here.</t>
        </is>
      </c>
    </row>
  </sheetData>
  <mergeCells count="2">
    <mergeCell ref="A2:E2"/>
    <mergeCell ref="A18:E18"/>
  </mergeCells>
  <hyperlinks>
    <hyperlink xmlns:r="http://schemas.openxmlformats.org/officeDocument/2006/relationships" ref="E5" r:id="rId1"/>
    <hyperlink xmlns:r="http://schemas.openxmlformats.org/officeDocument/2006/relationships" ref="E6"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34" customWidth="1" min="1" max="1"/>
    <col width="16" customWidth="1" min="2" max="2"/>
    <col width="40" customWidth="1" min="3" max="3"/>
    <col width="14" customWidth="1" min="4" max="4"/>
    <col width="46" customWidth="1" min="5" max="5"/>
  </cols>
  <sheetData>
    <row r="1">
      <c r="A1" s="1" t="inlineStr">
        <is>
          <t>eBay</t>
        </is>
      </c>
    </row>
    <row r="2" ht="30" customHeight="1">
      <c r="A2" s="2" t="inlineStr">
        <is>
          <t>US seller, most categories, no eBay Store. Some categories (for example trading cards, guitars, sneakers over $150) have different rates.</t>
        </is>
      </c>
    </row>
    <row r="4">
      <c r="A4" s="5" t="inlineStr">
        <is>
          <t>Fee</t>
        </is>
      </c>
      <c r="B4" s="5" t="inlineStr">
        <is>
          <t>Rate</t>
        </is>
      </c>
      <c r="C4" s="5" t="inlineStr">
        <is>
          <t>What it applies to</t>
        </is>
      </c>
      <c r="D4" s="5" t="inlineStr">
        <is>
          <t>Checked</t>
        </is>
      </c>
      <c r="E4" s="5" t="inlineStr">
        <is>
          <t>Platform's own page</t>
        </is>
      </c>
    </row>
    <row r="5" ht="30" customHeight="1">
      <c r="A5" s="6" t="inlineStr">
        <is>
          <t>Final value fee</t>
        </is>
      </c>
      <c r="B5" s="10" t="n">
        <v>0.136</v>
      </c>
      <c r="C5" s="8" t="inlineStr">
        <is>
          <t>The total sale: item, shipping, handling and sales tax. Up to $7,500 per item.</t>
        </is>
      </c>
      <c r="D5" s="6" t="inlineStr">
        <is>
          <t>29 Oct 2026</t>
        </is>
      </c>
      <c r="E5" s="9" t="inlineStr">
        <is>
          <t>https://www.ebay.com/help/selling/fees-credits-invoices/selling-fees?id=4364</t>
        </is>
      </c>
    </row>
    <row r="6" ht="30" customHeight="1">
      <c r="A6" s="6" t="inlineStr">
        <is>
          <t>Per-order fee (order over $10)</t>
        </is>
      </c>
      <c r="B6" s="7" t="n">
        <v>0.4</v>
      </c>
      <c r="C6" s="8" t="inlineStr">
        <is>
          <t>Per order.</t>
        </is>
      </c>
      <c r="D6" s="6" t="inlineStr">
        <is>
          <t>29 Oct 2026</t>
        </is>
      </c>
      <c r="E6" s="9" t="inlineStr">
        <is>
          <t>https://www.ebay.com/help/selling/fees-credits-invoices/selling-fees?id=4364</t>
        </is>
      </c>
    </row>
    <row r="7" ht="30" customHeight="1">
      <c r="A7" s="6" t="inlineStr">
        <is>
          <t>Per-order fee (order $10 or less)</t>
        </is>
      </c>
      <c r="B7" s="7" t="n">
        <v>0.3</v>
      </c>
      <c r="C7" s="8" t="inlineStr">
        <is>
          <t>Per order.</t>
        </is>
      </c>
      <c r="D7" s="6" t="inlineStr">
        <is>
          <t>29 Oct 2026</t>
        </is>
      </c>
      <c r="E7" s="9" t="inlineStr">
        <is>
          <t>https://www.ebay.com/help/selling/fees-credits-invoices/selling-fees?id=4364</t>
        </is>
      </c>
    </row>
    <row r="8" ht="30" customHeight="1">
      <c r="A8" s="6" t="inlineStr">
        <is>
          <t>Insertion fee after 250 free listings a month</t>
        </is>
      </c>
      <c r="B8" s="7" t="n">
        <v>0.35</v>
      </c>
      <c r="C8" s="8" t="inlineStr">
        <is>
          <t>Per listing over the free allowance.</t>
        </is>
      </c>
      <c r="D8" s="6" t="inlineStr">
        <is>
          <t>29 Oct 2026</t>
        </is>
      </c>
      <c r="E8" s="9" t="inlineStr">
        <is>
          <t>https://www.ebay.com/help/selling/fees-credits-invoices/selling-fees?id=4364</t>
        </is>
      </c>
    </row>
    <row r="10">
      <c r="A10" s="5" t="inlineStr">
        <is>
          <t>Type your numbers in the yellow cells</t>
        </is>
      </c>
      <c r="B10" s="5" t="inlineStr"/>
      <c r="C10" s="5" t="inlineStr"/>
      <c r="D10" s="5" t="inlineStr"/>
      <c r="E10" s="5" t="inlineStr"/>
    </row>
    <row r="11">
      <c r="A11" t="inlineStr">
        <is>
          <t>Item price</t>
        </is>
      </c>
      <c r="B11" s="11" t="n">
        <v>45</v>
      </c>
    </row>
    <row r="12">
      <c r="A12" t="inlineStr">
        <is>
          <t>Shipping the buyer paid</t>
        </is>
      </c>
      <c r="B12" s="11" t="n">
        <v>0</v>
      </c>
    </row>
    <row r="13">
      <c r="A13" t="inlineStr">
        <is>
          <t>Sales tax on the order</t>
        </is>
      </c>
      <c r="B13" s="11" t="n">
        <v>0</v>
      </c>
    </row>
    <row r="15">
      <c r="A15" s="12" t="inlineStr">
        <is>
          <t>Final value fee</t>
        </is>
      </c>
      <c r="B15" s="13">
        <f>($B$11+$B$12+$B$13)*$B$5</f>
        <v/>
      </c>
    </row>
    <row r="16">
      <c r="A16" s="12" t="inlineStr">
        <is>
          <t>Per-order fee</t>
        </is>
      </c>
      <c r="B16" s="13">
        <f>IF($B$11+$B$12+$B$13&gt;10,$B$6,$B$7)</f>
        <v/>
      </c>
    </row>
    <row r="17">
      <c r="A17" s="14" t="inlineStr">
        <is>
          <t>Total eBay fees</t>
        </is>
      </c>
      <c r="B17" s="15">
        <f>($B$11+$B$12+$B$13)*$B$5+IF($B$11+$B$12+$B$13&gt;10,$B$6,$B$7)</f>
        <v/>
      </c>
    </row>
    <row r="18">
      <c r="A18" s="14" t="inlineStr">
        <is>
          <t>What you keep (before product and postage)</t>
        </is>
      </c>
      <c r="B18" s="15">
        <f>$B$11+$B$12-(($B$11+$B$12+$B$13)*$B$5+IF($B$11+$B$12+$B$13&gt;10,$B$6,$B$7))</f>
        <v/>
      </c>
    </row>
    <row r="20" ht="54" customHeight="1">
      <c r="A20" s="16" t="inlineStr">
        <is>
          <t>eBay charges its fee on the sales tax too, even though the tax is passed on to the state, which is why tax is in the yellow cells. Promoted listings are extra.</t>
        </is>
      </c>
    </row>
  </sheetData>
  <mergeCells count="2">
    <mergeCell ref="A2:E2"/>
    <mergeCell ref="A20:E20"/>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34" customWidth="1" min="1" max="1"/>
    <col width="16" customWidth="1" min="2" max="2"/>
    <col width="40" customWidth="1" min="3" max="3"/>
    <col width="14" customWidth="1" min="4" max="4"/>
    <col width="46" customWidth="1" min="5" max="5"/>
  </cols>
  <sheetData>
    <row r="1">
      <c r="A1" s="1" t="inlineStr">
        <is>
          <t>Amazon KDP</t>
        </is>
      </c>
    </row>
    <row r="2" ht="30" customHeight="1">
      <c r="A2" s="2" t="inlineStr">
        <is>
          <t>Books sold on Amazon.com in US dollars. Royalty is what Amazon pays you per copy.</t>
        </is>
      </c>
    </row>
    <row r="4">
      <c r="A4" s="5" t="inlineStr">
        <is>
          <t>Fee</t>
        </is>
      </c>
      <c r="B4" s="5" t="inlineStr">
        <is>
          <t>Rate</t>
        </is>
      </c>
      <c r="C4" s="5" t="inlineStr">
        <is>
          <t>What it applies to</t>
        </is>
      </c>
      <c r="D4" s="5" t="inlineStr">
        <is>
          <t>Checked</t>
        </is>
      </c>
      <c r="E4" s="5" t="inlineStr">
        <is>
          <t>Platform's own page</t>
        </is>
      </c>
    </row>
    <row r="5" ht="30" customHeight="1">
      <c r="A5" s="6" t="inlineStr">
        <is>
          <t>eBook royalty, 70% option</t>
        </is>
      </c>
      <c r="B5" s="10" t="n">
        <v>0.7</v>
      </c>
      <c r="C5" s="8" t="inlineStr">
        <is>
          <t>List price $2.99 to $9.99 on Amazon.com, minus a delivery cost based on file size. Below or above that range, it is 35%.</t>
        </is>
      </c>
      <c r="D5" s="6" t="inlineStr">
        <is>
          <t>29 Oct 2026</t>
        </is>
      </c>
      <c r="E5" s="9" t="inlineStr">
        <is>
          <t>https://kdp.amazon.com/help/topic/G200644210</t>
        </is>
      </c>
    </row>
    <row r="6" ht="30" customHeight="1">
      <c r="A6" s="6" t="inlineStr">
        <is>
          <t>eBook royalty, 35% option</t>
        </is>
      </c>
      <c r="B6" s="10" t="n">
        <v>0.35</v>
      </c>
      <c r="C6" s="8" t="inlineStr">
        <is>
          <t>List price. No delivery cost.</t>
        </is>
      </c>
      <c r="D6" s="6" t="inlineStr">
        <is>
          <t>29 Oct 2026</t>
        </is>
      </c>
      <c r="E6" s="9" t="inlineStr">
        <is>
          <t>https://kdp.amazon.com/help/topic/G200644210</t>
        </is>
      </c>
    </row>
    <row r="7" ht="30" customHeight="1">
      <c r="A7" s="6" t="inlineStr">
        <is>
          <t>eBook delivery cost per MB</t>
        </is>
      </c>
      <c r="B7" s="7" t="n">
        <v>0.15</v>
      </c>
      <c r="C7" s="8" t="inlineStr">
        <is>
          <t>Amazon.com, 70% option only. Minimum $0.01.</t>
        </is>
      </c>
      <c r="D7" s="6" t="inlineStr">
        <is>
          <t>29 Oct 2026</t>
        </is>
      </c>
      <c r="E7" s="9" t="inlineStr">
        <is>
          <t>https://kdp.amazon.com/help/topic/G200634500</t>
        </is>
      </c>
    </row>
    <row r="8" ht="30" customHeight="1">
      <c r="A8" s="6" t="inlineStr">
        <is>
          <t>Paperback royalty, $9.99 and up</t>
        </is>
      </c>
      <c r="B8" s="10" t="n">
        <v>0.6</v>
      </c>
      <c r="C8" s="8" t="inlineStr">
        <is>
          <t>List price, minus the printing cost.</t>
        </is>
      </c>
      <c r="D8" s="6" t="inlineStr">
        <is>
          <t>29 Oct 2026</t>
        </is>
      </c>
      <c r="E8" s="9" t="inlineStr">
        <is>
          <t>https://kdp.amazon.com/help/topic/G201834330</t>
        </is>
      </c>
    </row>
    <row r="9" ht="30" customHeight="1">
      <c r="A9" s="6" t="inlineStr">
        <is>
          <t>Paperback royalty, under $9.99</t>
        </is>
      </c>
      <c r="B9" s="10" t="n">
        <v>0.5</v>
      </c>
      <c r="C9" s="8" t="inlineStr">
        <is>
          <t>List price, minus the printing cost.</t>
        </is>
      </c>
      <c r="D9" s="6" t="inlineStr">
        <is>
          <t>29 Oct 2026</t>
        </is>
      </c>
      <c r="E9" s="9" t="inlineStr">
        <is>
          <t>https://kdp.amazon.com/help/topic/G201834330</t>
        </is>
      </c>
    </row>
    <row r="11">
      <c r="A11" s="5" t="inlineStr">
        <is>
          <t>Type your numbers in the yellow cells</t>
        </is>
      </c>
      <c r="B11" s="5" t="inlineStr"/>
      <c r="C11" s="5" t="inlineStr"/>
      <c r="D11" s="5" t="inlineStr"/>
      <c r="E11" s="5" t="inlineStr"/>
    </row>
    <row r="12">
      <c r="A12" t="inlineStr">
        <is>
          <t>eBook list price</t>
        </is>
      </c>
      <c r="B12" s="11" t="n">
        <v>2.99</v>
      </c>
    </row>
    <row r="13">
      <c r="A13" t="inlineStr">
        <is>
          <t>eBook file size (MB)</t>
        </is>
      </c>
      <c r="B13" s="18" t="n">
        <v>2</v>
      </c>
    </row>
    <row r="14">
      <c r="A14" t="inlineStr">
        <is>
          <t>Paperback list price</t>
        </is>
      </c>
      <c r="B14" s="11" t="n">
        <v>9.99</v>
      </c>
    </row>
    <row r="15">
      <c r="A15" t="inlineStr">
        <is>
          <t>Printing cost (from the KDP calculator)</t>
        </is>
      </c>
      <c r="B15" s="11" t="n">
        <v>3.5</v>
      </c>
    </row>
    <row r="17">
      <c r="A17" s="14" t="inlineStr">
        <is>
          <t>eBook royalty per copy</t>
        </is>
      </c>
      <c r="B17" s="15">
        <f>IF(AND($B$12&gt;=2.99,$B$12&lt;=9.99),$B$12*$B$5-MAX(0.01,$B$13*$B$7),$B$12*$B$6)</f>
        <v/>
      </c>
    </row>
    <row r="18">
      <c r="A18" s="14" t="inlineStr">
        <is>
          <t>Paperback royalty per copy</t>
        </is>
      </c>
      <c r="B18" s="15">
        <f>IF($B$14&gt;=9.99,$B$8,$B$9)*$B$14-$B$15</f>
        <v/>
      </c>
    </row>
    <row r="20" ht="54" customHeight="1">
      <c r="A20" s="16" t="inlineStr">
        <is>
          <t>Printing cost depends on pages, ink and trim size: get yours from the KDP royalty calculator (kdp.amazon.com/royalty-calculator). Expanded Distribution pays 40% instead. Kindle Unlimited page reads are paid separately and are not counted here.</t>
        </is>
      </c>
    </row>
  </sheetData>
  <mergeCells count="2">
    <mergeCell ref="A2:E2"/>
    <mergeCell ref="A20:E20"/>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34" customWidth="1" min="1" max="1"/>
    <col width="16" customWidth="1" min="2" max="2"/>
    <col width="40" customWidth="1" min="3" max="3"/>
    <col width="14" customWidth="1" min="4" max="4"/>
    <col width="46" customWidth="1" min="5" max="5"/>
  </cols>
  <sheetData>
    <row r="1">
      <c r="A1" s="1" t="inlineStr">
        <is>
          <t>Payhip</t>
        </is>
      </c>
    </row>
    <row r="2" ht="30" customHeight="1">
      <c r="A2" s="2" t="inlineStr">
        <is>
          <t>Digital products. Payhip's fee depends on your plan; Stripe or PayPal also take their own fee.</t>
        </is>
      </c>
    </row>
    <row r="4">
      <c r="A4" s="5" t="inlineStr">
        <is>
          <t>Fee</t>
        </is>
      </c>
      <c r="B4" s="5" t="inlineStr">
        <is>
          <t>Rate</t>
        </is>
      </c>
      <c r="C4" s="5" t="inlineStr">
        <is>
          <t>What it applies to</t>
        </is>
      </c>
      <c r="D4" s="5" t="inlineStr">
        <is>
          <t>Checked</t>
        </is>
      </c>
      <c r="E4" s="5" t="inlineStr">
        <is>
          <t>Platform's own page</t>
        </is>
      </c>
    </row>
    <row r="5" ht="30" customHeight="1">
      <c r="A5" s="6" t="inlineStr">
        <is>
          <t>Free plan: Payhip fee</t>
        </is>
      </c>
      <c r="B5" s="10" t="n">
        <v>0.05</v>
      </c>
      <c r="C5" s="8" t="inlineStr">
        <is>
          <t>$0 a month. Per sale.</t>
        </is>
      </c>
      <c r="D5" s="6" t="inlineStr">
        <is>
          <t>29 Oct 2026</t>
        </is>
      </c>
      <c r="E5" s="9" t="inlineStr">
        <is>
          <t>https://payhip.com/pricing</t>
        </is>
      </c>
    </row>
    <row r="6" ht="30" customHeight="1">
      <c r="A6" s="6" t="inlineStr">
        <is>
          <t>Plus plan: Payhip fee</t>
        </is>
      </c>
      <c r="B6" s="10" t="n">
        <v>0.02</v>
      </c>
      <c r="C6" s="8" t="inlineStr">
        <is>
          <t>$29 a month. Per sale.</t>
        </is>
      </c>
      <c r="D6" s="6" t="inlineStr">
        <is>
          <t>29 Oct 2026</t>
        </is>
      </c>
      <c r="E6" s="9" t="inlineStr">
        <is>
          <t>https://payhip.com/pricing</t>
        </is>
      </c>
    </row>
    <row r="7" ht="30" customHeight="1">
      <c r="A7" s="6" t="inlineStr">
        <is>
          <t>Pro plan: Payhip fee</t>
        </is>
      </c>
      <c r="B7" s="10" t="n">
        <v>0</v>
      </c>
      <c r="C7" s="8" t="inlineStr">
        <is>
          <t>$99 a month. Per sale.</t>
        </is>
      </c>
      <c r="D7" s="6" t="inlineStr">
        <is>
          <t>29 Oct 2026</t>
        </is>
      </c>
      <c r="E7" s="9" t="inlineStr">
        <is>
          <t>https://payhip.com/pricing</t>
        </is>
      </c>
    </row>
    <row r="8" ht="30" customHeight="1">
      <c r="A8" s="6" t="inlineStr">
        <is>
          <t>Card processing (%), Stripe US standard</t>
        </is>
      </c>
      <c r="B8" s="10" t="n">
        <v>0.029</v>
      </c>
      <c r="C8" s="8" t="inlineStr">
        <is>
          <t>Charged by Stripe or PayPal, not Payhip. Check your own account's rate.</t>
        </is>
      </c>
      <c r="D8" s="6" t="inlineStr">
        <is>
          <t>29 Oct 2026</t>
        </is>
      </c>
      <c r="E8" s="9" t="inlineStr">
        <is>
          <t>https://stripe.com/pricing</t>
        </is>
      </c>
    </row>
    <row r="9" ht="30" customHeight="1">
      <c r="A9" s="6" t="inlineStr">
        <is>
          <t>Card processing (flat)</t>
        </is>
      </c>
      <c r="B9" s="7" t="n">
        <v>0.3</v>
      </c>
      <c r="C9" s="8" t="inlineStr">
        <is>
          <t>Per sale.</t>
        </is>
      </c>
      <c r="D9" s="6" t="inlineStr">
        <is>
          <t>29 Oct 2026</t>
        </is>
      </c>
      <c r="E9" s="9" t="inlineStr">
        <is>
          <t>https://stripe.com/pricing</t>
        </is>
      </c>
    </row>
    <row r="11">
      <c r="A11" s="5" t="inlineStr">
        <is>
          <t>Type your numbers in the yellow cells</t>
        </is>
      </c>
      <c r="B11" s="5" t="inlineStr"/>
      <c r="C11" s="5" t="inlineStr"/>
      <c r="D11" s="5" t="inlineStr"/>
      <c r="E11" s="5" t="inlineStr"/>
    </row>
    <row r="12">
      <c r="A12" t="inlineStr">
        <is>
          <t>Price</t>
        </is>
      </c>
      <c r="B12" s="11" t="n">
        <v>9.99</v>
      </c>
    </row>
    <row r="13">
      <c r="A13" t="inlineStr">
        <is>
          <t>Your plan: 1 = Free, 2 = Plus, 3 = Pro</t>
        </is>
      </c>
      <c r="B13" s="17" t="n">
        <v>1</v>
      </c>
    </row>
    <row r="15">
      <c r="A15" s="12" t="inlineStr">
        <is>
          <t>Payhip fee</t>
        </is>
      </c>
      <c r="B15" s="13">
        <f>$B$12*CHOOSE($B$13,$B$5,$B$6,$B$7)</f>
        <v/>
      </c>
    </row>
    <row r="16">
      <c r="A16" s="12" t="inlineStr">
        <is>
          <t>Card processing</t>
        </is>
      </c>
      <c r="B16" s="13">
        <f>$B$12*$B$8+$B$9</f>
        <v/>
      </c>
    </row>
    <row r="17">
      <c r="A17" s="14" t="inlineStr">
        <is>
          <t>What you keep per sale</t>
        </is>
      </c>
      <c r="B17" s="15">
        <f>$B$12-($B$12*CHOOSE($B$13,$B$5,$B$6,$B$7)+$B$12*$B$8+$B$9)</f>
        <v/>
      </c>
    </row>
    <row r="19" ht="54" customHeight="1">
      <c r="A19" s="16" t="inlineStr">
        <is>
          <t>The monthly plan price is not taken from each sale. Plus pays for itself once your sales pass about $967 a month (3% of sales saved = $29); Pro over Plus at about $3,500 a month.</t>
        </is>
      </c>
    </row>
  </sheetData>
  <mergeCells count="2">
    <mergeCell ref="A2:E2"/>
    <mergeCell ref="A19:E19"/>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34" customWidth="1" min="1" max="1"/>
    <col width="16" customWidth="1" min="2" max="2"/>
    <col width="40" customWidth="1" min="3" max="3"/>
    <col width="14" customWidth="1" min="4" max="4"/>
    <col width="46" customWidth="1" min="5" max="5"/>
  </cols>
  <sheetData>
    <row r="1">
      <c r="A1" s="1" t="inlineStr">
        <is>
          <t>Shopify</t>
        </is>
      </c>
    </row>
    <row r="2" ht="30" customHeight="1">
      <c r="A2" s="2" t="inlineStr">
        <is>
          <t>US store, online card sales through Shopify Payments. Using another payment provider adds Shopify's extra fee.</t>
        </is>
      </c>
    </row>
    <row r="4">
      <c r="A4" s="5" t="inlineStr">
        <is>
          <t>Fee</t>
        </is>
      </c>
      <c r="B4" s="5" t="inlineStr">
        <is>
          <t>Rate</t>
        </is>
      </c>
      <c r="C4" s="5" t="inlineStr">
        <is>
          <t>What it applies to</t>
        </is>
      </c>
      <c r="D4" s="5" t="inlineStr">
        <is>
          <t>Checked</t>
        </is>
      </c>
      <c r="E4" s="5" t="inlineStr">
        <is>
          <t>Platform's own page</t>
        </is>
      </c>
    </row>
    <row r="5" ht="30" customHeight="1">
      <c r="A5" s="6" t="inlineStr">
        <is>
          <t>Basic: online card rate</t>
        </is>
      </c>
      <c r="B5" s="10" t="n">
        <v>0.029</v>
      </c>
      <c r="C5" s="8" t="inlineStr">
        <is>
          <t>$39 a month, or $29 a month billed yearly. Plus 30¢ per order.</t>
        </is>
      </c>
      <c r="D5" s="6" t="inlineStr">
        <is>
          <t>29 Oct 2026</t>
        </is>
      </c>
      <c r="E5" s="9" t="inlineStr">
        <is>
          <t>https://www.shopify.com/pricing</t>
        </is>
      </c>
    </row>
    <row r="6" ht="30" customHeight="1">
      <c r="A6" s="6" t="inlineStr">
        <is>
          <t>Grow: online card rate</t>
        </is>
      </c>
      <c r="B6" s="10" t="n">
        <v>0.027</v>
      </c>
      <c r="C6" s="8" t="inlineStr">
        <is>
          <t>$105 a month, or $79 a month billed yearly. Plus 30¢ per order.</t>
        </is>
      </c>
      <c r="D6" s="6" t="inlineStr">
        <is>
          <t>29 Oct 2026</t>
        </is>
      </c>
      <c r="E6" s="9" t="inlineStr">
        <is>
          <t>https://www.shopify.com/pricing</t>
        </is>
      </c>
    </row>
    <row r="7" ht="30" customHeight="1">
      <c r="A7" s="6" t="inlineStr">
        <is>
          <t>Advanced: online card rate</t>
        </is>
      </c>
      <c r="B7" s="10" t="n">
        <v>0.025</v>
      </c>
      <c r="C7" s="8" t="inlineStr">
        <is>
          <t>$399 a month, or $299 a month billed yearly. Plus 30¢ per order.</t>
        </is>
      </c>
      <c r="D7" s="6" t="inlineStr">
        <is>
          <t>29 Oct 2026</t>
        </is>
      </c>
      <c r="E7" s="9" t="inlineStr">
        <is>
          <t>https://www.shopify.com/pricing</t>
        </is>
      </c>
    </row>
    <row r="8" ht="30" customHeight="1">
      <c r="A8" s="6" t="inlineStr">
        <is>
          <t>Per-order flat fee</t>
        </is>
      </c>
      <c r="B8" s="7" t="n">
        <v>0.3</v>
      </c>
      <c r="C8" s="8" t="inlineStr">
        <is>
          <t>Per online card order.</t>
        </is>
      </c>
      <c r="D8" s="6" t="inlineStr">
        <is>
          <t>29 Oct 2026</t>
        </is>
      </c>
      <c r="E8" s="9" t="inlineStr">
        <is>
          <t>https://www.shopify.com/pricing</t>
        </is>
      </c>
    </row>
    <row r="9" ht="30" customHeight="1">
      <c r="A9" s="6" t="inlineStr">
        <is>
          <t>Extra fee if not using Shopify Payments (Basic)</t>
        </is>
      </c>
      <c r="B9" s="10" t="n">
        <v>0.02</v>
      </c>
      <c r="C9" s="8" t="inlineStr">
        <is>
          <t>Grow 1%, Advanced 0.6%. On top of your other provider's own fee.</t>
        </is>
      </c>
      <c r="D9" s="6" t="inlineStr">
        <is>
          <t>29 Oct 2026</t>
        </is>
      </c>
      <c r="E9" s="9" t="inlineStr">
        <is>
          <t>https://www.shopify.com/pricing</t>
        </is>
      </c>
    </row>
    <row r="11">
      <c r="A11" s="5" t="inlineStr">
        <is>
          <t>Type your numbers in the yellow cells</t>
        </is>
      </c>
      <c r="B11" s="5" t="inlineStr"/>
      <c r="C11" s="5" t="inlineStr"/>
      <c r="D11" s="5" t="inlineStr"/>
      <c r="E11" s="5" t="inlineStr"/>
    </row>
    <row r="12">
      <c r="A12" t="inlineStr">
        <is>
          <t>Order total (item and shipping)</t>
        </is>
      </c>
      <c r="B12" s="11" t="n">
        <v>30</v>
      </c>
    </row>
    <row r="13">
      <c r="A13" t="inlineStr">
        <is>
          <t>Your plan: 1 = Basic, 2 = Grow, 3 = Advanced</t>
        </is>
      </c>
      <c r="B13" s="17" t="n">
        <v>1</v>
      </c>
    </row>
    <row r="15">
      <c r="A15" s="14" t="inlineStr">
        <is>
          <t>Card processing</t>
        </is>
      </c>
      <c r="B15" s="15">
        <f>$B$12*CHOOSE($B$13,$B$5,$B$6,$B$7)+$B$8</f>
        <v/>
      </c>
    </row>
    <row r="16">
      <c r="A16" s="14" t="inlineStr">
        <is>
          <t>What you keep (before product, postage and apps)</t>
        </is>
      </c>
      <c r="B16" s="15">
        <f>$B$12-($B$12*CHOOSE($B$13,$B$5,$B$6,$B$7)+$B$8)</f>
        <v/>
      </c>
    </row>
    <row r="18" ht="54" customHeight="1">
      <c r="A18" s="16" t="inlineStr">
        <is>
          <t>Shopify's middle plan used to be called "Shopify"; it is now "Grow". The monthly plan, apps and themes are not taken from each sale. Plus starts at $2,300 a month.</t>
        </is>
      </c>
    </row>
  </sheetData>
  <mergeCells count="2">
    <mergeCell ref="A2:E2"/>
    <mergeCell ref="A18:E18"/>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2026-10-29T04:28:29Z</dcterms:created>
  <dcterms:modified xmlns:dcterms="http://purl.org/dc/terms/" xmlns:xsi="http://www.w3.org/2001/XMLSchema-instance" xsi:type="dcterms:W3CDTF">2026-10-29T04:28:29Z</dcterms:modified>
</cp:coreProperties>
</file>